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13_ncr:1_{6154D9F6-CA70-47F8-A116-0F5C58185A6C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Test Data – Input" sheetId="1" r:id="rId1"/>
    <sheet name="Legend &amp; Rules" sheetId="2" r:id="rId2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G59" i="1" l="1"/>
  <c r="F59" i="1"/>
  <c r="G58" i="1"/>
  <c r="F58" i="1"/>
  <c r="G57" i="1"/>
  <c r="F57" i="1"/>
  <c r="G56" i="1"/>
  <c r="F56" i="1"/>
  <c r="G55" i="1"/>
  <c r="F55" i="1"/>
  <c r="G54" i="1"/>
  <c r="F54" i="1"/>
  <c r="G53" i="1"/>
  <c r="F53" i="1"/>
  <c r="G52" i="1"/>
  <c r="F52" i="1"/>
  <c r="G51" i="1"/>
  <c r="F51" i="1"/>
  <c r="G50" i="1"/>
  <c r="F50" i="1"/>
  <c r="G49" i="1"/>
  <c r="F49" i="1"/>
  <c r="G48" i="1"/>
  <c r="F48" i="1"/>
  <c r="G47" i="1"/>
  <c r="F47" i="1"/>
  <c r="G46" i="1"/>
  <c r="F46" i="1"/>
  <c r="G45" i="1"/>
  <c r="F45" i="1"/>
  <c r="G44" i="1"/>
  <c r="F44" i="1"/>
  <c r="G43" i="1"/>
  <c r="F43" i="1"/>
  <c r="G42" i="1"/>
  <c r="F42" i="1"/>
  <c r="G40" i="1"/>
  <c r="F40" i="1"/>
  <c r="G39" i="1"/>
  <c r="F39" i="1"/>
  <c r="G38" i="1"/>
  <c r="F38" i="1"/>
  <c r="G37" i="1"/>
  <c r="F37" i="1"/>
  <c r="G36" i="1"/>
  <c r="F36" i="1"/>
  <c r="G35" i="1"/>
  <c r="F35" i="1"/>
  <c r="G34" i="1"/>
  <c r="F34" i="1"/>
  <c r="G33" i="1"/>
  <c r="F33" i="1"/>
  <c r="G32" i="1"/>
  <c r="F32" i="1"/>
  <c r="G31" i="1"/>
  <c r="F31" i="1"/>
  <c r="G30" i="1"/>
  <c r="F30" i="1"/>
  <c r="G29" i="1"/>
  <c r="F29" i="1"/>
  <c r="G28" i="1"/>
  <c r="F28" i="1"/>
  <c r="G27" i="1"/>
  <c r="F27" i="1"/>
  <c r="G26" i="1"/>
  <c r="F26" i="1"/>
  <c r="G25" i="1"/>
  <c r="F25" i="1"/>
  <c r="G24" i="1"/>
  <c r="F24" i="1"/>
  <c r="G23" i="1"/>
  <c r="F23" i="1"/>
  <c r="G21" i="1"/>
  <c r="F21" i="1"/>
  <c r="G20" i="1"/>
  <c r="F20" i="1"/>
  <c r="G19" i="1"/>
  <c r="F19" i="1"/>
  <c r="G18" i="1"/>
  <c r="F18" i="1"/>
  <c r="G17" i="1"/>
  <c r="F17" i="1"/>
  <c r="G16" i="1"/>
  <c r="F16" i="1"/>
  <c r="G15" i="1"/>
  <c r="F15" i="1"/>
  <c r="G14" i="1"/>
  <c r="F14" i="1"/>
  <c r="G13" i="1"/>
  <c r="F13" i="1"/>
  <c r="G12" i="1"/>
  <c r="F12" i="1"/>
  <c r="G11" i="1"/>
  <c r="F11" i="1"/>
  <c r="G10" i="1"/>
  <c r="F10" i="1"/>
  <c r="G9" i="1"/>
  <c r="F9" i="1"/>
  <c r="G8" i="1"/>
  <c r="F8" i="1"/>
  <c r="G7" i="1"/>
  <c r="F7" i="1"/>
  <c r="G6" i="1"/>
  <c r="F6" i="1"/>
  <c r="G5" i="1"/>
  <c r="F5" i="1"/>
  <c r="G4" i="1"/>
  <c r="F4" i="1"/>
</calcChain>
</file>

<file path=xl/sharedStrings.xml><?xml version="1.0" encoding="utf-8"?>
<sst xmlns="http://schemas.openxmlformats.org/spreadsheetml/2006/main" count="375" uniqueCount="74">
  <si>
    <t>MILK PRODUCTION SYSTEM – CONTROLLED TEST DATASET</t>
  </si>
  <si>
    <t>3 cows · 18 days each  |  Days 1–16 = control baseline  |  Day 17–18 = anomaly trigger  |  Enter Morning + Evening yields exactly as shown</t>
  </si>
  <si>
    <t>Cow Name</t>
  </si>
  <si>
    <t>Tag No.</t>
  </si>
  <si>
    <t>Date</t>
  </si>
  <si>
    <t>Morning
Yield (L)</t>
  </si>
  <si>
    <t>Evening
Yield (L)</t>
  </si>
  <si>
    <t>Daily Total
(formula)</t>
  </si>
  <si>
    <t>7-Day Rolling
Mean (formula)</t>
  </si>
  <si>
    <t>Z-Score
(approx.)</t>
  </si>
  <si>
    <t>Expected Result</t>
  </si>
  <si>
    <t>Rule Triggered</t>
  </si>
  <si>
    <t>Notes for Tester</t>
  </si>
  <si>
    <t>2026/04/01</t>
  </si>
  <si>
    <t>—</t>
  </si>
  <si>
    <t>Normal – no flag</t>
  </si>
  <si>
    <t>2026/04/02</t>
  </si>
  <si>
    <t>2026/04/03</t>
  </si>
  <si>
    <t>2026/04/04</t>
  </si>
  <si>
    <t>2026/04/05</t>
  </si>
  <si>
    <t>2026/04/06</t>
  </si>
  <si>
    <t>2026/04/07</t>
  </si>
  <si>
    <t>2026/04/08</t>
  </si>
  <si>
    <t>2026/04/09</t>
  </si>
  <si>
    <t>2026/04/10</t>
  </si>
  <si>
    <t>2026/04/11</t>
  </si>
  <si>
    <t>2026/04/12</t>
  </si>
  <si>
    <t>2026/04/13</t>
  </si>
  <si>
    <t>2026/04/14</t>
  </si>
  <si>
    <t>2026/04/15</t>
  </si>
  <si>
    <t>2026/04/16</t>
  </si>
  <si>
    <t>2026/04/17</t>
  </si>
  <si>
    <t>Z ≈ 13.1</t>
  </si>
  <si>
    <t>ANOMALY – Z-score &gt; 2 SD</t>
  </si>
  <si>
    <t>Rule 1</t>
  </si>
  <si>
    <t>Sudden spike. Baseline mean=19.0L, SD=0.32L</t>
  </si>
  <si>
    <t>2026/04/18</t>
  </si>
  <si>
    <t>71.3% of 7-day avg</t>
  </si>
  <si>
    <t>ANOMALY – &lt; 75 % of 7-day mean</t>
  </si>
  <si>
    <t>Rule 2</t>
  </si>
  <si>
    <t>Sharp drop. 7-day mean=16.13L; 71.3% of mean</t>
  </si>
  <si>
    <t>Part of declining trend. LR detects slope after 14+ pts</t>
  </si>
  <si>
    <t>ANOMALY – Slope &lt; −0.2 L/day</t>
  </si>
  <si>
    <t>Rule 3</t>
  </si>
  <si>
    <t>Slope ≈ −0.40 L/day</t>
  </si>
  <si>
    <t>ANOMALY DETECTION RULES – REFERENCE</t>
  </si>
  <si>
    <t>Rule</t>
  </si>
  <si>
    <t>Name</t>
  </si>
  <si>
    <t>Threshold</t>
  </si>
  <si>
    <t>Description</t>
  </si>
  <si>
    <t>Colour in Sheet</t>
  </si>
  <si>
    <t>Z-Score Spike / Drop</t>
  </si>
  <si>
    <t>|Z| &gt; 2</t>
  </si>
  <si>
    <t>Daily total deviates &gt; 2 standard deviations from historical mean</t>
  </si>
  <si>
    <t>See colour →</t>
  </si>
  <si>
    <t>Single-Day Sharp Drop</t>
  </si>
  <si>
    <t>Yield &lt; 75% of 7-day mean</t>
  </si>
  <si>
    <t>Daily total falls below 75% of the preceding 7-day rolling average</t>
  </si>
  <si>
    <t>Sustained Declining Trend</t>
  </si>
  <si>
    <t>Slope &lt; −0.2 L/day  AND  R² &gt; 0.6</t>
  </si>
  <si>
    <t>Linear regression over ≥14 days shows consistent downward slope with strong fit</t>
  </si>
  <si>
    <t>Row colours in Test Data sheet:</t>
  </si>
  <si>
    <t xml:space="preserve">  </t>
  </si>
  <si>
    <t>Normal / baseline row (alternating green)</t>
  </si>
  <si>
    <t>Anomaly row (yellow background)</t>
  </si>
  <si>
    <t>Rule 1 cell (red) – Z-score spike</t>
  </si>
  <si>
    <t>Rule 2 cell (orange) – sharp single-day drop</t>
  </si>
  <si>
    <t>Rule 3 cell (purple) – sustained decline</t>
  </si>
  <si>
    <t>Tuya</t>
  </si>
  <si>
    <t>TU-354</t>
  </si>
  <si>
    <t>Chesa</t>
  </si>
  <si>
    <t>CH-175</t>
  </si>
  <si>
    <t>GL-425</t>
  </si>
  <si>
    <t>Girlie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</si>
</sst>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6" x14ac:knownFonts="1">
    <font>
      <sz val="11"/>
      <color theme="1"/>
      <name val="Calibri"/>
      <family val="2"/>
      <charset val="1"/>
    </font>
    <font>
      <b/>
      <sz val="13"/>
      <color rgb="FFFFFFFF"/>
      <name val="Arial"/>
      <charset val="1"/>
    </font>
    <font>
      <i/>
      <sz val="9"/>
      <color rgb="FFFFFFFF"/>
      <name val="Arial"/>
      <charset val="1"/>
    </font>
    <font>
      <b/>
      <sz val="10"/>
      <color rgb="FFFFFFFF"/>
      <name val="Arial"/>
      <charset val="1"/>
    </font>
    <font>
      <sz val="10"/>
      <name val="Arial"/>
      <charset val="1"/>
    </font>
    <font>
      <b/>
      <sz val="10"/>
      <name val="Arial"/>
      <charset val="1"/>
    </font>
  </fonts>
  <fills count="9">
    <fill>
      <patternFill patternType="none"/>
    </fill>
    <fill>
      <patternFill patternType="gray125"/>
    </fill>
    <fill>
      <patternFill patternType="solid">
        <fgColor rgb="FF1F4E79"/>
        <bgColor rgb="FF003366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FFFFCC"/>
      </patternFill>
    </fill>
    <fill>
      <patternFill patternType="solid">
        <fgColor rgb="FFFFE699"/>
        <bgColor rgb="FFFFCC99"/>
      </patternFill>
    </fill>
    <fill>
      <patternFill patternType="solid">
        <fgColor rgb="FFFF7F7F"/>
        <bgColor rgb="FFFF9966"/>
      </patternFill>
    </fill>
    <fill>
      <patternFill patternType="solid">
        <fgColor rgb="FFFF9966"/>
        <bgColor rgb="FFFF7F7F"/>
      </patternFill>
    </fill>
    <fill>
      <patternFill patternType="solid">
        <fgColor rgb="FFCC99FF"/>
        <bgColor rgb="FF9999FF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5" fillId="0" borderId="0" xfId="0" applyFont="1" applyAlignment="1">
      <alignment horizontal="left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 wrapText="1"/>
    </xf>
    <xf numFmtId="0" fontId="4" fillId="4" borderId="1" xfId="0" applyFont="1" applyFill="1" applyBorder="1" applyAlignment="1">
      <alignment horizontal="center" vertical="center" wrapText="1"/>
    </xf>
    <xf numFmtId="164" fontId="4" fillId="4" borderId="1" xfId="0" applyNumberFormat="1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 wrapText="1"/>
    </xf>
    <xf numFmtId="0" fontId="4" fillId="0" borderId="1" xfId="0" applyFont="1" applyBorder="1" applyAlignment="1">
      <alignment horizontal="center" vertical="center" wrapText="1"/>
    </xf>
    <xf numFmtId="164" fontId="4" fillId="0" borderId="1" xfId="0" applyNumberFormat="1" applyFont="1" applyBorder="1" applyAlignment="1">
      <alignment horizontal="center" vertical="center" wrapText="1"/>
    </xf>
    <xf numFmtId="0" fontId="4" fillId="5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center" vertical="center" wrapText="1"/>
    </xf>
    <xf numFmtId="164" fontId="4" fillId="5" borderId="1" xfId="0" applyNumberFormat="1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0" fillId="2" borderId="1" xfId="0" applyFill="1" applyBorder="1"/>
    <xf numFmtId="0" fontId="4" fillId="7" borderId="1" xfId="0" applyFont="1" applyFill="1" applyBorder="1" applyAlignment="1">
      <alignment horizontal="left" vertical="center" wrapText="1"/>
    </xf>
    <xf numFmtId="0" fontId="4" fillId="8" borderId="1" xfId="0" applyFont="1" applyFill="1" applyBorder="1" applyAlignment="1">
      <alignment horizontal="left" vertical="center" wrapText="1"/>
    </xf>
    <xf numFmtId="0" fontId="0" fillId="4" borderId="1" xfId="0" applyFill="1" applyBorder="1"/>
    <xf numFmtId="0" fontId="4" fillId="0" borderId="1" xfId="0" applyFont="1" applyBorder="1"/>
    <xf numFmtId="0" fontId="0" fillId="0" borderId="1" xfId="0" applyBorder="1"/>
    <xf numFmtId="0" fontId="0" fillId="5" borderId="1" xfId="0" applyFill="1" applyBorder="1"/>
    <xf numFmtId="0" fontId="0" fillId="6" borderId="1" xfId="0" applyFill="1" applyBorder="1"/>
    <xf numFmtId="0" fontId="0" fillId="7" borderId="1" xfId="0" applyFill="1" applyBorder="1"/>
    <xf numFmtId="0" fontId="0" fillId="8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7F7F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E699"/>
      <rgbColor rgb="FF99CCFF"/>
      <rgbColor rgb="FFFF9966"/>
      <rgbColor rgb="FFCC99FF"/>
      <rgbColor rgb="FFFFCC99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60"/>
  <sheetViews>
    <sheetView showGridLines="0" tabSelected="1" zoomScaleNormal="100" workbookViewId="0">
      <pane ySplit="3" topLeftCell="A30" activePane="bottomLeft" state="frozen"/>
      <selection pane="bottomLeft" activeCell="D38" sqref="D38"/>
    </sheetView>
  </sheetViews>
  <sheetFormatPr defaultColWidth="8.6328125" defaultRowHeight="14.5" x14ac:dyDescent="0.35"/>
  <cols>
    <col min="1" max="1" width="14" customWidth="1"/>
    <col min="2" max="2" width="10" customWidth="1"/>
    <col min="3" max="5" width="13" customWidth="1"/>
    <col min="6" max="6" width="14" customWidth="1"/>
    <col min="7" max="7" width="16" customWidth="1"/>
    <col min="8" max="8" width="13" customWidth="1"/>
    <col min="9" max="10" width="18" customWidth="1"/>
    <col min="11" max="11" width="30" customWidth="1"/>
  </cols>
  <sheetData>
    <row r="1" spans="1:11" ht="27.75" customHeight="1" x14ac:dyDescent="0.35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</row>
    <row r="2" spans="1:11" ht="19.5" customHeight="1" x14ac:dyDescent="0.3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</row>
    <row r="3" spans="1:11" ht="36" customHeight="1" x14ac:dyDescent="0.35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</row>
    <row r="4" spans="1:11" x14ac:dyDescent="0.35">
      <c r="A4" s="5" t="s">
        <v>68</v>
      </c>
      <c r="B4" s="6" t="s">
        <v>69</v>
      </c>
      <c r="C4" s="6" t="s">
        <v>13</v>
      </c>
      <c r="D4" s="7">
        <v>11.1</v>
      </c>
      <c r="E4" s="7">
        <v>7.4</v>
      </c>
      <c r="F4" s="7">
        <f t="shared" ref="F4:F21" si="0">D4+E4</f>
        <v>18.5</v>
      </c>
      <c r="G4" s="7" t="str">
        <f t="shared" ref="G4:G21" ca="1" si="1">IF(ROW()-3&gt;=10,AVERAGE(OFFSET(F4,-6,0,7,1)),"Need 7 days")</f>
        <v>Need 7 days</v>
      </c>
      <c r="H4" s="6" t="s">
        <v>14</v>
      </c>
      <c r="I4" s="5" t="s">
        <v>15</v>
      </c>
      <c r="J4" s="5" t="s">
        <v>14</v>
      </c>
      <c r="K4" s="5"/>
    </row>
    <row r="5" spans="1:11" x14ac:dyDescent="0.35">
      <c r="A5" s="8" t="s">
        <v>68</v>
      </c>
      <c r="B5" s="9" t="s">
        <v>69</v>
      </c>
      <c r="C5" s="9" t="s">
        <v>16</v>
      </c>
      <c r="D5" s="10">
        <v>11.9</v>
      </c>
      <c r="E5" s="10">
        <v>7.6</v>
      </c>
      <c r="F5" s="10">
        <f t="shared" si="0"/>
        <v>19.5</v>
      </c>
      <c r="G5" s="10" t="str">
        <f t="shared" ca="1" si="1"/>
        <v>Need 7 days</v>
      </c>
      <c r="H5" s="9" t="s">
        <v>14</v>
      </c>
      <c r="I5" s="8" t="s">
        <v>15</v>
      </c>
      <c r="J5" s="8" t="s">
        <v>14</v>
      </c>
      <c r="K5" s="8"/>
    </row>
    <row r="6" spans="1:11" x14ac:dyDescent="0.35">
      <c r="A6" s="5" t="s">
        <v>68</v>
      </c>
      <c r="B6" s="6" t="s">
        <v>69</v>
      </c>
      <c r="C6" s="6" t="s">
        <v>17</v>
      </c>
      <c r="D6" s="7">
        <v>11.1</v>
      </c>
      <c r="E6" s="7">
        <v>7.7</v>
      </c>
      <c r="F6" s="7">
        <f t="shared" si="0"/>
        <v>18.8</v>
      </c>
      <c r="G6" s="7" t="str">
        <f t="shared" ca="1" si="1"/>
        <v>Need 7 days</v>
      </c>
      <c r="H6" s="6" t="s">
        <v>14</v>
      </c>
      <c r="I6" s="5" t="s">
        <v>15</v>
      </c>
      <c r="J6" s="5" t="s">
        <v>14</v>
      </c>
      <c r="K6" s="5"/>
    </row>
    <row r="7" spans="1:11" x14ac:dyDescent="0.35">
      <c r="A7" s="8" t="s">
        <v>68</v>
      </c>
      <c r="B7" s="9" t="s">
        <v>69</v>
      </c>
      <c r="C7" s="9" t="s">
        <v>18</v>
      </c>
      <c r="D7" s="10">
        <v>11.5</v>
      </c>
      <c r="E7" s="10">
        <v>7.7</v>
      </c>
      <c r="F7" s="10">
        <f t="shared" si="0"/>
        <v>19.2</v>
      </c>
      <c r="G7" s="10" t="str">
        <f t="shared" ca="1" si="1"/>
        <v>Need 7 days</v>
      </c>
      <c r="H7" s="9" t="s">
        <v>14</v>
      </c>
      <c r="I7" s="8" t="s">
        <v>15</v>
      </c>
      <c r="J7" s="8" t="s">
        <v>14</v>
      </c>
      <c r="K7" s="8"/>
    </row>
    <row r="8" spans="1:11" x14ac:dyDescent="0.35">
      <c r="A8" s="5" t="s">
        <v>68</v>
      </c>
      <c r="B8" s="6" t="s">
        <v>69</v>
      </c>
      <c r="C8" s="6" t="s">
        <v>19</v>
      </c>
      <c r="D8" s="7">
        <v>11.5</v>
      </c>
      <c r="E8" s="7">
        <v>7.1</v>
      </c>
      <c r="F8" s="7">
        <f t="shared" si="0"/>
        <v>18.600000000000001</v>
      </c>
      <c r="G8" s="7" t="str">
        <f t="shared" ca="1" si="1"/>
        <v>Need 7 days</v>
      </c>
      <c r="H8" s="6" t="s">
        <v>14</v>
      </c>
      <c r="I8" s="5" t="s">
        <v>15</v>
      </c>
      <c r="J8" s="5" t="s">
        <v>14</v>
      </c>
      <c r="K8" s="5"/>
    </row>
    <row r="9" spans="1:11" x14ac:dyDescent="0.35">
      <c r="A9" s="8" t="s">
        <v>68</v>
      </c>
      <c r="B9" s="9" t="s">
        <v>69</v>
      </c>
      <c r="C9" s="9" t="s">
        <v>20</v>
      </c>
      <c r="D9" s="10">
        <v>11.6</v>
      </c>
      <c r="E9" s="10">
        <v>7.8</v>
      </c>
      <c r="F9" s="10">
        <f t="shared" si="0"/>
        <v>19.399999999999999</v>
      </c>
      <c r="G9" s="10" t="str">
        <f t="shared" ca="1" si="1"/>
        <v>Need 7 days</v>
      </c>
      <c r="H9" s="9" t="s">
        <v>14</v>
      </c>
      <c r="I9" s="8" t="s">
        <v>15</v>
      </c>
      <c r="J9" s="8" t="s">
        <v>14</v>
      </c>
      <c r="K9" s="8"/>
    </row>
    <row r="10" spans="1:11" x14ac:dyDescent="0.35">
      <c r="A10" s="5" t="s">
        <v>68</v>
      </c>
      <c r="B10" s="6" t="s">
        <v>69</v>
      </c>
      <c r="C10" s="6" t="s">
        <v>21</v>
      </c>
      <c r="D10" s="7">
        <v>11.6</v>
      </c>
      <c r="E10" s="7">
        <v>7.4</v>
      </c>
      <c r="F10" s="7">
        <f t="shared" si="0"/>
        <v>19</v>
      </c>
      <c r="G10" s="7" t="str">
        <f t="shared" ca="1" si="1"/>
        <v>Need 7 days</v>
      </c>
      <c r="H10" s="6" t="s">
        <v>14</v>
      </c>
      <c r="I10" s="5" t="s">
        <v>15</v>
      </c>
      <c r="J10" s="5" t="s">
        <v>14</v>
      </c>
      <c r="K10" s="5"/>
    </row>
    <row r="11" spans="1:11" x14ac:dyDescent="0.35">
      <c r="A11" s="8" t="s">
        <v>68</v>
      </c>
      <c r="B11" s="9" t="s">
        <v>69</v>
      </c>
      <c r="C11" s="9" t="s">
        <v>22</v>
      </c>
      <c r="D11" s="10">
        <v>11.2</v>
      </c>
      <c r="E11" s="10">
        <v>7.5</v>
      </c>
      <c r="F11" s="10">
        <f t="shared" si="0"/>
        <v>18.7</v>
      </c>
      <c r="G11" s="10" t="str">
        <f t="shared" ca="1" si="1"/>
        <v>Need 7 days</v>
      </c>
      <c r="H11" s="9" t="s">
        <v>14</v>
      </c>
      <c r="I11" s="8" t="s">
        <v>15</v>
      </c>
      <c r="J11" s="8" t="s">
        <v>14</v>
      </c>
      <c r="K11" s="8"/>
    </row>
    <row r="12" spans="1:11" x14ac:dyDescent="0.35">
      <c r="A12" s="5" t="s">
        <v>68</v>
      </c>
      <c r="B12" s="6" t="s">
        <v>69</v>
      </c>
      <c r="C12" s="6" t="s">
        <v>23</v>
      </c>
      <c r="D12" s="7">
        <v>11.4</v>
      </c>
      <c r="E12" s="7">
        <v>7.9</v>
      </c>
      <c r="F12" s="7">
        <f t="shared" si="0"/>
        <v>19.3</v>
      </c>
      <c r="G12" s="7" t="str">
        <f t="shared" ca="1" si="1"/>
        <v>Need 7 days</v>
      </c>
      <c r="H12" s="6" t="s">
        <v>14</v>
      </c>
      <c r="I12" s="5" t="s">
        <v>15</v>
      </c>
      <c r="J12" s="5" t="s">
        <v>14</v>
      </c>
      <c r="K12" s="5"/>
    </row>
    <row r="13" spans="1:11" x14ac:dyDescent="0.35">
      <c r="A13" s="8" t="s">
        <v>68</v>
      </c>
      <c r="B13" s="9" t="s">
        <v>69</v>
      </c>
      <c r="C13" s="9" t="s">
        <v>24</v>
      </c>
      <c r="D13" s="10">
        <v>11.5</v>
      </c>
      <c r="E13" s="10">
        <v>7.4</v>
      </c>
      <c r="F13" s="10">
        <f t="shared" si="0"/>
        <v>18.899999999999999</v>
      </c>
      <c r="G13" s="10">
        <f t="shared" ca="1" si="1"/>
        <v>19.014285714285712</v>
      </c>
      <c r="H13" s="9" t="s">
        <v>14</v>
      </c>
      <c r="I13" s="8" t="s">
        <v>15</v>
      </c>
      <c r="J13" s="8" t="s">
        <v>14</v>
      </c>
      <c r="K13" s="8"/>
    </row>
    <row r="14" spans="1:11" x14ac:dyDescent="0.35">
      <c r="A14" s="5" t="s">
        <v>68</v>
      </c>
      <c r="B14" s="6" t="s">
        <v>69</v>
      </c>
      <c r="C14" s="6" t="s">
        <v>25</v>
      </c>
      <c r="D14" s="7">
        <v>11.5</v>
      </c>
      <c r="E14" s="7">
        <v>7.6</v>
      </c>
      <c r="F14" s="7">
        <f t="shared" si="0"/>
        <v>19.100000000000001</v>
      </c>
      <c r="G14" s="7">
        <f t="shared" ca="1" si="1"/>
        <v>19</v>
      </c>
      <c r="H14" s="6" t="s">
        <v>14</v>
      </c>
      <c r="I14" s="5" t="s">
        <v>15</v>
      </c>
      <c r="J14" s="5" t="s">
        <v>14</v>
      </c>
      <c r="K14" s="5"/>
    </row>
    <row r="15" spans="1:11" x14ac:dyDescent="0.35">
      <c r="A15" s="8" t="s">
        <v>68</v>
      </c>
      <c r="B15" s="9" t="s">
        <v>69</v>
      </c>
      <c r="C15" s="9" t="s">
        <v>26</v>
      </c>
      <c r="D15" s="10">
        <v>11.5</v>
      </c>
      <c r="E15" s="10">
        <v>7.1</v>
      </c>
      <c r="F15" s="10">
        <f t="shared" si="0"/>
        <v>18.600000000000001</v>
      </c>
      <c r="G15" s="10">
        <f t="shared" ca="1" si="1"/>
        <v>18.999999999999996</v>
      </c>
      <c r="H15" s="9" t="s">
        <v>14</v>
      </c>
      <c r="I15" s="8" t="s">
        <v>15</v>
      </c>
      <c r="J15" s="8" t="s">
        <v>14</v>
      </c>
      <c r="K15" s="8"/>
    </row>
    <row r="16" spans="1:11" x14ac:dyDescent="0.35">
      <c r="A16" s="5" t="s">
        <v>68</v>
      </c>
      <c r="B16" s="6" t="s">
        <v>69</v>
      </c>
      <c r="C16" s="6" t="s">
        <v>27</v>
      </c>
      <c r="D16" s="7">
        <v>11.6</v>
      </c>
      <c r="E16" s="7">
        <v>7.8</v>
      </c>
      <c r="F16" s="7">
        <f t="shared" si="0"/>
        <v>19.399999999999999</v>
      </c>
      <c r="G16" s="7">
        <f t="shared" ca="1" si="1"/>
        <v>19</v>
      </c>
      <c r="H16" s="6" t="s">
        <v>14</v>
      </c>
      <c r="I16" s="5" t="s">
        <v>15</v>
      </c>
      <c r="J16" s="5" t="s">
        <v>14</v>
      </c>
      <c r="K16" s="5"/>
    </row>
    <row r="17" spans="1:11" x14ac:dyDescent="0.35">
      <c r="A17" s="8" t="s">
        <v>68</v>
      </c>
      <c r="B17" s="9" t="s">
        <v>69</v>
      </c>
      <c r="C17" s="9" t="s">
        <v>28</v>
      </c>
      <c r="D17" s="10">
        <v>11.6</v>
      </c>
      <c r="E17" s="10">
        <v>7.4</v>
      </c>
      <c r="F17" s="10">
        <f t="shared" si="0"/>
        <v>19</v>
      </c>
      <c r="G17" s="10">
        <f t="shared" ca="1" si="1"/>
        <v>19</v>
      </c>
      <c r="H17" s="9" t="s">
        <v>14</v>
      </c>
      <c r="I17" s="8" t="s">
        <v>15</v>
      </c>
      <c r="J17" s="8" t="s">
        <v>14</v>
      </c>
      <c r="K17" s="8"/>
    </row>
    <row r="18" spans="1:11" x14ac:dyDescent="0.35">
      <c r="A18" s="5" t="s">
        <v>68</v>
      </c>
      <c r="B18" s="6" t="s">
        <v>69</v>
      </c>
      <c r="C18" s="6" t="s">
        <v>29</v>
      </c>
      <c r="D18" s="7">
        <v>11.3</v>
      </c>
      <c r="E18" s="7">
        <v>7.5</v>
      </c>
      <c r="F18" s="7">
        <f t="shared" si="0"/>
        <v>18.8</v>
      </c>
      <c r="G18" s="7">
        <f t="shared" ca="1" si="1"/>
        <v>19.014285714285716</v>
      </c>
      <c r="H18" s="6" t="s">
        <v>14</v>
      </c>
      <c r="I18" s="5" t="s">
        <v>15</v>
      </c>
      <c r="J18" s="5" t="s">
        <v>14</v>
      </c>
      <c r="K18" s="5"/>
    </row>
    <row r="19" spans="1:11" x14ac:dyDescent="0.35">
      <c r="A19" s="8" t="s">
        <v>68</v>
      </c>
      <c r="B19" s="9" t="s">
        <v>69</v>
      </c>
      <c r="C19" s="9" t="s">
        <v>30</v>
      </c>
      <c r="D19" s="10">
        <v>11.3</v>
      </c>
      <c r="E19" s="10">
        <v>7.9</v>
      </c>
      <c r="F19" s="10">
        <f t="shared" si="0"/>
        <v>19.200000000000003</v>
      </c>
      <c r="G19" s="10">
        <f t="shared" ca="1" si="1"/>
        <v>19</v>
      </c>
      <c r="H19" s="9" t="s">
        <v>14</v>
      </c>
      <c r="I19" s="8" t="s">
        <v>15</v>
      </c>
      <c r="J19" s="8" t="s">
        <v>14</v>
      </c>
      <c r="K19" s="8"/>
    </row>
    <row r="20" spans="1:11" ht="25" x14ac:dyDescent="0.35">
      <c r="A20" s="11" t="s">
        <v>68</v>
      </c>
      <c r="B20" s="12" t="s">
        <v>69</v>
      </c>
      <c r="C20" s="12" t="s">
        <v>31</v>
      </c>
      <c r="D20" s="13">
        <v>13.9</v>
      </c>
      <c r="E20" s="13">
        <v>9.3000000000000007</v>
      </c>
      <c r="F20" s="13">
        <f t="shared" si="0"/>
        <v>23.200000000000003</v>
      </c>
      <c r="G20" s="13">
        <f t="shared" ca="1" si="1"/>
        <v>19.614285714285717</v>
      </c>
      <c r="H20" s="12" t="s">
        <v>32</v>
      </c>
      <c r="I20" s="11" t="s">
        <v>33</v>
      </c>
      <c r="J20" s="14" t="s">
        <v>34</v>
      </c>
      <c r="K20" s="11" t="s">
        <v>35</v>
      </c>
    </row>
    <row r="21" spans="1:11" ht="25" x14ac:dyDescent="0.35">
      <c r="A21" s="11" t="s">
        <v>68</v>
      </c>
      <c r="B21" s="12" t="s">
        <v>69</v>
      </c>
      <c r="C21" s="12" t="s">
        <v>36</v>
      </c>
      <c r="D21" s="13">
        <v>11.6</v>
      </c>
      <c r="E21" s="13">
        <v>7.4</v>
      </c>
      <c r="F21" s="13">
        <f t="shared" si="0"/>
        <v>19</v>
      </c>
      <c r="G21" s="13">
        <f t="shared" ca="1" si="1"/>
        <v>19.599999999999998</v>
      </c>
      <c r="H21" s="12" t="s">
        <v>14</v>
      </c>
      <c r="I21" s="11" t="s">
        <v>33</v>
      </c>
      <c r="J21" s="14" t="s">
        <v>34</v>
      </c>
      <c r="K21" s="11"/>
    </row>
    <row r="22" spans="1:11" x14ac:dyDescent="0.35">
      <c r="A22" s="15"/>
      <c r="B22" s="15"/>
      <c r="C22" s="15"/>
      <c r="D22" s="15"/>
      <c r="E22" s="15"/>
      <c r="F22" s="15"/>
      <c r="G22" s="15"/>
      <c r="H22" s="15"/>
      <c r="I22" s="15"/>
      <c r="J22" s="15"/>
      <c r="K22" s="15"/>
    </row>
    <row r="23" spans="1:11" x14ac:dyDescent="0.35">
      <c r="A23" s="5" t="s">
        <v>70</v>
      </c>
      <c r="B23" s="6" t="s">
        <v>71</v>
      </c>
      <c r="C23" s="6" t="s">
        <v>13</v>
      </c>
      <c r="D23" s="7">
        <v>9.6999999999999993</v>
      </c>
      <c r="E23" s="7">
        <v>6.5</v>
      </c>
      <c r="F23" s="7">
        <f t="shared" ref="F23:F40" si="2">D23+E23</f>
        <v>16.2</v>
      </c>
      <c r="G23" s="7">
        <f t="shared" ref="G23:G40" ca="1" si="3">IF(ROW()-3&gt;=10,AVERAGE(OFFSET(F23,-6,0,7,1)),"Need 7 days")</f>
        <v>19.233333333333334</v>
      </c>
      <c r="H23" s="6" t="s">
        <v>14</v>
      </c>
      <c r="I23" s="5" t="s">
        <v>15</v>
      </c>
      <c r="J23" s="5" t="s">
        <v>14</v>
      </c>
      <c r="K23" s="5"/>
    </row>
    <row r="24" spans="1:11" x14ac:dyDescent="0.35">
      <c r="A24" s="8" t="s">
        <v>70</v>
      </c>
      <c r="B24" s="9" t="s">
        <v>71</v>
      </c>
      <c r="C24" s="9" t="s">
        <v>16</v>
      </c>
      <c r="D24" s="10">
        <v>9.5</v>
      </c>
      <c r="E24" s="10">
        <v>6.3</v>
      </c>
      <c r="F24" s="10">
        <f t="shared" si="2"/>
        <v>15.8</v>
      </c>
      <c r="G24" s="10">
        <f t="shared" ca="1" si="3"/>
        <v>18.7</v>
      </c>
      <c r="H24" s="9" t="s">
        <v>14</v>
      </c>
      <c r="I24" s="8" t="s">
        <v>15</v>
      </c>
      <c r="J24" s="8" t="s">
        <v>14</v>
      </c>
      <c r="K24" s="8"/>
    </row>
    <row r="25" spans="1:11" x14ac:dyDescent="0.35">
      <c r="A25" s="5" t="s">
        <v>70</v>
      </c>
      <c r="B25" s="6" t="s">
        <v>71</v>
      </c>
      <c r="C25" s="6" t="s">
        <v>17</v>
      </c>
      <c r="D25" s="7">
        <v>9.8000000000000007</v>
      </c>
      <c r="E25" s="7">
        <v>6.6</v>
      </c>
      <c r="F25" s="7">
        <f t="shared" si="2"/>
        <v>16.399999999999999</v>
      </c>
      <c r="G25" s="7">
        <f t="shared" ca="1" si="3"/>
        <v>18.3</v>
      </c>
      <c r="H25" s="6" t="s">
        <v>14</v>
      </c>
      <c r="I25" s="5" t="s">
        <v>15</v>
      </c>
      <c r="J25" s="5" t="s">
        <v>14</v>
      </c>
      <c r="K25" s="5"/>
    </row>
    <row r="26" spans="1:11" x14ac:dyDescent="0.35">
      <c r="A26" s="8" t="s">
        <v>70</v>
      </c>
      <c r="B26" s="9" t="s">
        <v>71</v>
      </c>
      <c r="C26" s="9" t="s">
        <v>18</v>
      </c>
      <c r="D26" s="10">
        <v>9.6</v>
      </c>
      <c r="E26" s="10">
        <v>6.4</v>
      </c>
      <c r="F26" s="10">
        <f t="shared" si="2"/>
        <v>16</v>
      </c>
      <c r="G26" s="10">
        <f t="shared" ca="1" si="3"/>
        <v>17.766666666666666</v>
      </c>
      <c r="H26" s="9" t="s">
        <v>14</v>
      </c>
      <c r="I26" s="8" t="s">
        <v>15</v>
      </c>
      <c r="J26" s="8" t="s">
        <v>14</v>
      </c>
      <c r="K26" s="8"/>
    </row>
    <row r="27" spans="1:11" x14ac:dyDescent="0.35">
      <c r="A27" s="5" t="s">
        <v>70</v>
      </c>
      <c r="B27" s="6" t="s">
        <v>71</v>
      </c>
      <c r="C27" s="6" t="s">
        <v>19</v>
      </c>
      <c r="D27" s="7">
        <v>9.8000000000000007</v>
      </c>
      <c r="E27" s="7">
        <v>6.5</v>
      </c>
      <c r="F27" s="7">
        <f t="shared" si="2"/>
        <v>16.3</v>
      </c>
      <c r="G27" s="7">
        <f t="shared" ca="1" si="3"/>
        <v>16.616666666666667</v>
      </c>
      <c r="H27" s="6" t="s">
        <v>14</v>
      </c>
      <c r="I27" s="5" t="s">
        <v>15</v>
      </c>
      <c r="J27" s="5" t="s">
        <v>14</v>
      </c>
      <c r="K27" s="5"/>
    </row>
    <row r="28" spans="1:11" x14ac:dyDescent="0.35">
      <c r="A28" s="8" t="s">
        <v>70</v>
      </c>
      <c r="B28" s="9" t="s">
        <v>71</v>
      </c>
      <c r="C28" s="9" t="s">
        <v>20</v>
      </c>
      <c r="D28" s="10">
        <v>9.5</v>
      </c>
      <c r="E28" s="10">
        <v>6.4</v>
      </c>
      <c r="F28" s="10">
        <f t="shared" si="2"/>
        <v>15.9</v>
      </c>
      <c r="G28" s="10">
        <f t="shared" ca="1" si="3"/>
        <v>16.100000000000001</v>
      </c>
      <c r="H28" s="9" t="s">
        <v>14</v>
      </c>
      <c r="I28" s="8" t="s">
        <v>15</v>
      </c>
      <c r="J28" s="8" t="s">
        <v>14</v>
      </c>
      <c r="K28" s="8"/>
    </row>
    <row r="29" spans="1:11" x14ac:dyDescent="0.35">
      <c r="A29" s="5" t="s">
        <v>70</v>
      </c>
      <c r="B29" s="6" t="s">
        <v>71</v>
      </c>
      <c r="C29" s="6" t="s">
        <v>21</v>
      </c>
      <c r="D29" s="7">
        <v>9.6999999999999993</v>
      </c>
      <c r="E29" s="7">
        <v>6.4</v>
      </c>
      <c r="F29" s="7">
        <f t="shared" si="2"/>
        <v>16.100000000000001</v>
      </c>
      <c r="G29" s="7">
        <f t="shared" ca="1" si="3"/>
        <v>16.100000000000001</v>
      </c>
      <c r="H29" s="6" t="s">
        <v>14</v>
      </c>
      <c r="I29" s="5" t="s">
        <v>15</v>
      </c>
      <c r="J29" s="5" t="s">
        <v>14</v>
      </c>
      <c r="K29" s="5"/>
    </row>
    <row r="30" spans="1:11" x14ac:dyDescent="0.35">
      <c r="A30" s="8" t="s">
        <v>70</v>
      </c>
      <c r="B30" s="9" t="s">
        <v>71</v>
      </c>
      <c r="C30" s="9" t="s">
        <v>22</v>
      </c>
      <c r="D30" s="10">
        <v>9.6999999999999993</v>
      </c>
      <c r="E30" s="10">
        <v>6.5</v>
      </c>
      <c r="F30" s="10">
        <f t="shared" si="2"/>
        <v>16.2</v>
      </c>
      <c r="G30" s="10">
        <f t="shared" ca="1" si="3"/>
        <v>16.100000000000001</v>
      </c>
      <c r="H30" s="9" t="s">
        <v>14</v>
      </c>
      <c r="I30" s="8" t="s">
        <v>15</v>
      </c>
      <c r="J30" s="8" t="s">
        <v>14</v>
      </c>
      <c r="K30" s="8"/>
    </row>
    <row r="31" spans="1:11" x14ac:dyDescent="0.35">
      <c r="A31" s="5" t="s">
        <v>70</v>
      </c>
      <c r="B31" s="6" t="s">
        <v>71</v>
      </c>
      <c r="C31" s="6" t="s">
        <v>23</v>
      </c>
      <c r="D31" s="7">
        <v>9.5</v>
      </c>
      <c r="E31" s="7">
        <v>6.3</v>
      </c>
      <c r="F31" s="7">
        <f t="shared" si="2"/>
        <v>15.8</v>
      </c>
      <c r="G31" s="7">
        <f t="shared" ca="1" si="3"/>
        <v>16.100000000000001</v>
      </c>
      <c r="H31" s="6" t="s">
        <v>14</v>
      </c>
      <c r="I31" s="5" t="s">
        <v>15</v>
      </c>
      <c r="J31" s="5" t="s">
        <v>14</v>
      </c>
      <c r="K31" s="5"/>
    </row>
    <row r="32" spans="1:11" x14ac:dyDescent="0.35">
      <c r="A32" s="8" t="s">
        <v>70</v>
      </c>
      <c r="B32" s="9" t="s">
        <v>71</v>
      </c>
      <c r="C32" s="9" t="s">
        <v>24</v>
      </c>
      <c r="D32" s="10">
        <v>9.8000000000000007</v>
      </c>
      <c r="E32" s="10">
        <v>6.6</v>
      </c>
      <c r="F32" s="10">
        <f t="shared" si="2"/>
        <v>16.399999999999999</v>
      </c>
      <c r="G32" s="10">
        <f t="shared" ca="1" si="3"/>
        <v>16.099999999999998</v>
      </c>
      <c r="H32" s="9" t="s">
        <v>14</v>
      </c>
      <c r="I32" s="8" t="s">
        <v>15</v>
      </c>
      <c r="J32" s="8" t="s">
        <v>14</v>
      </c>
      <c r="K32" s="8"/>
    </row>
    <row r="33" spans="1:11" x14ac:dyDescent="0.35">
      <c r="A33" s="5" t="s">
        <v>70</v>
      </c>
      <c r="B33" s="6" t="s">
        <v>71</v>
      </c>
      <c r="C33" s="6" t="s">
        <v>25</v>
      </c>
      <c r="D33" s="7">
        <v>9.6</v>
      </c>
      <c r="E33" s="7">
        <v>6.4</v>
      </c>
      <c r="F33" s="7">
        <f t="shared" si="2"/>
        <v>16</v>
      </c>
      <c r="G33" s="7">
        <f t="shared" ca="1" si="3"/>
        <v>16.099999999999998</v>
      </c>
      <c r="H33" s="6" t="s">
        <v>14</v>
      </c>
      <c r="I33" s="5" t="s">
        <v>15</v>
      </c>
      <c r="J33" s="5" t="s">
        <v>14</v>
      </c>
      <c r="K33" s="5"/>
    </row>
    <row r="34" spans="1:11" x14ac:dyDescent="0.35">
      <c r="A34" s="8" t="s">
        <v>70</v>
      </c>
      <c r="B34" s="9" t="s">
        <v>71</v>
      </c>
      <c r="C34" s="9" t="s">
        <v>26</v>
      </c>
      <c r="D34" s="10">
        <v>9.8000000000000007</v>
      </c>
      <c r="E34" s="10">
        <v>6.5</v>
      </c>
      <c r="F34" s="10">
        <f t="shared" si="2"/>
        <v>16.3</v>
      </c>
      <c r="G34" s="10">
        <f t="shared" ca="1" si="3"/>
        <v>16.100000000000001</v>
      </c>
      <c r="H34" s="9" t="s">
        <v>14</v>
      </c>
      <c r="I34" s="8" t="s">
        <v>15</v>
      </c>
      <c r="J34" s="8" t="s">
        <v>14</v>
      </c>
      <c r="K34" s="8"/>
    </row>
    <row r="35" spans="1:11" x14ac:dyDescent="0.35">
      <c r="A35" s="5" t="s">
        <v>70</v>
      </c>
      <c r="B35" s="6" t="s">
        <v>71</v>
      </c>
      <c r="C35" s="6" t="s">
        <v>27</v>
      </c>
      <c r="D35" s="7">
        <v>9.5</v>
      </c>
      <c r="E35" s="7">
        <v>6.4</v>
      </c>
      <c r="F35" s="7">
        <f t="shared" si="2"/>
        <v>15.9</v>
      </c>
      <c r="G35" s="7">
        <f t="shared" ca="1" si="3"/>
        <v>16.100000000000001</v>
      </c>
      <c r="H35" s="6" t="s">
        <v>14</v>
      </c>
      <c r="I35" s="5" t="s">
        <v>15</v>
      </c>
      <c r="J35" s="5" t="s">
        <v>14</v>
      </c>
      <c r="K35" s="5"/>
    </row>
    <row r="36" spans="1:11" x14ac:dyDescent="0.35">
      <c r="A36" s="8" t="s">
        <v>70</v>
      </c>
      <c r="B36" s="9" t="s">
        <v>71</v>
      </c>
      <c r="C36" s="9" t="s">
        <v>28</v>
      </c>
      <c r="D36" s="10">
        <v>9.6999999999999993</v>
      </c>
      <c r="E36" s="10">
        <v>6.4</v>
      </c>
      <c r="F36" s="10">
        <f t="shared" si="2"/>
        <v>16.100000000000001</v>
      </c>
      <c r="G36" s="10">
        <f t="shared" ca="1" si="3"/>
        <v>16.100000000000001</v>
      </c>
      <c r="H36" s="9" t="s">
        <v>14</v>
      </c>
      <c r="I36" s="8" t="s">
        <v>15</v>
      </c>
      <c r="J36" s="8" t="s">
        <v>14</v>
      </c>
      <c r="K36" s="8"/>
    </row>
    <row r="37" spans="1:11" x14ac:dyDescent="0.35">
      <c r="A37" s="5" t="s">
        <v>70</v>
      </c>
      <c r="B37" s="6" t="s">
        <v>71</v>
      </c>
      <c r="C37" s="6" t="s">
        <v>29</v>
      </c>
      <c r="D37" s="7">
        <v>9.6999999999999993</v>
      </c>
      <c r="E37" s="7">
        <v>6.5</v>
      </c>
      <c r="F37" s="7">
        <f t="shared" si="2"/>
        <v>16.2</v>
      </c>
      <c r="G37" s="7">
        <f t="shared" ca="1" si="3"/>
        <v>16.100000000000001</v>
      </c>
      <c r="H37" s="6" t="s">
        <v>14</v>
      </c>
      <c r="I37" s="5" t="s">
        <v>15</v>
      </c>
      <c r="J37" s="5" t="s">
        <v>14</v>
      </c>
      <c r="K37" s="5"/>
    </row>
    <row r="38" spans="1:11" x14ac:dyDescent="0.35">
      <c r="A38" s="8" t="s">
        <v>70</v>
      </c>
      <c r="B38" s="9" t="s">
        <v>71</v>
      </c>
      <c r="C38" s="9" t="s">
        <v>30</v>
      </c>
      <c r="D38" s="10">
        <v>9.6</v>
      </c>
      <c r="E38" s="10">
        <v>6.4</v>
      </c>
      <c r="F38" s="10">
        <f t="shared" si="2"/>
        <v>16</v>
      </c>
      <c r="G38" s="10">
        <f t="shared" ca="1" si="3"/>
        <v>16.12857142857143</v>
      </c>
      <c r="H38" s="9" t="s">
        <v>14</v>
      </c>
      <c r="I38" s="8" t="s">
        <v>15</v>
      </c>
      <c r="J38" s="8" t="s">
        <v>14</v>
      </c>
      <c r="K38" s="8"/>
    </row>
    <row r="39" spans="1:11" ht="25" x14ac:dyDescent="0.35">
      <c r="A39" s="11" t="s">
        <v>70</v>
      </c>
      <c r="B39" s="12" t="s">
        <v>71</v>
      </c>
      <c r="C39" s="12" t="s">
        <v>31</v>
      </c>
      <c r="D39" s="13">
        <v>6.9</v>
      </c>
      <c r="E39" s="13">
        <v>4.5999999999999996</v>
      </c>
      <c r="F39" s="13">
        <f t="shared" si="2"/>
        <v>11.5</v>
      </c>
      <c r="G39" s="13">
        <f t="shared" ca="1" si="3"/>
        <v>15.428571428571429</v>
      </c>
      <c r="H39" s="12" t="s">
        <v>37</v>
      </c>
      <c r="I39" s="11" t="s">
        <v>38</v>
      </c>
      <c r="J39" s="16" t="s">
        <v>39</v>
      </c>
      <c r="K39" s="11" t="s">
        <v>40</v>
      </c>
    </row>
    <row r="40" spans="1:11" ht="25" x14ac:dyDescent="0.35">
      <c r="A40" s="11" t="s">
        <v>70</v>
      </c>
      <c r="B40" s="12" t="s">
        <v>71</v>
      </c>
      <c r="C40" s="12" t="s">
        <v>36</v>
      </c>
      <c r="D40" s="13">
        <v>9.6999999999999993</v>
      </c>
      <c r="E40" s="13">
        <v>6.4</v>
      </c>
      <c r="F40" s="13">
        <f t="shared" si="2"/>
        <v>16.100000000000001</v>
      </c>
      <c r="G40" s="13">
        <f t="shared" ca="1" si="3"/>
        <v>15.442857142857141</v>
      </c>
      <c r="H40" s="12" t="s">
        <v>14</v>
      </c>
      <c r="I40" s="11" t="s">
        <v>38</v>
      </c>
      <c r="J40" s="16" t="s">
        <v>39</v>
      </c>
      <c r="K40" s="11"/>
    </row>
    <row r="41" spans="1:11" x14ac:dyDescent="0.35">
      <c r="A41" s="15"/>
      <c r="B41" s="15"/>
      <c r="C41" s="15"/>
      <c r="D41" s="15"/>
      <c r="E41" s="15"/>
      <c r="F41" s="15"/>
      <c r="G41" s="15"/>
      <c r="H41" s="15"/>
      <c r="I41" s="15"/>
      <c r="J41" s="15"/>
      <c r="K41" s="15"/>
    </row>
    <row r="42" spans="1:11" x14ac:dyDescent="0.35">
      <c r="A42" s="5" t="s">
        <v>73</v>
      </c>
      <c r="B42" s="6" t="s">
        <v>72</v>
      </c>
      <c r="C42" s="6" t="s">
        <v>13</v>
      </c>
      <c r="D42" s="7">
        <v>13.2</v>
      </c>
      <c r="E42" s="7">
        <v>8.8000000000000007</v>
      </c>
      <c r="F42" s="7">
        <f t="shared" ref="F42:F59" si="4">D42+E42</f>
        <v>22</v>
      </c>
      <c r="G42" s="7">
        <f t="shared" ref="G42:G59" ca="1" si="5">IF(ROW()-3&gt;=10,AVERAGE(OFFSET(F42,-6,0,7,1)),"Need 7 days")</f>
        <v>16.316666666666666</v>
      </c>
      <c r="H42" s="6" t="s">
        <v>14</v>
      </c>
      <c r="I42" s="5" t="s">
        <v>15</v>
      </c>
      <c r="J42" s="5" t="s">
        <v>14</v>
      </c>
      <c r="K42" s="5"/>
    </row>
    <row r="43" spans="1:11" x14ac:dyDescent="0.35">
      <c r="A43" s="8" t="s">
        <v>73</v>
      </c>
      <c r="B43" s="9" t="s">
        <v>72</v>
      </c>
      <c r="C43" s="9" t="s">
        <v>16</v>
      </c>
      <c r="D43" s="10">
        <v>13</v>
      </c>
      <c r="E43" s="10">
        <v>8.6</v>
      </c>
      <c r="F43" s="10">
        <f t="shared" si="4"/>
        <v>21.6</v>
      </c>
      <c r="G43" s="10">
        <f t="shared" ca="1" si="5"/>
        <v>17.233333333333334</v>
      </c>
      <c r="H43" s="9" t="s">
        <v>14</v>
      </c>
      <c r="I43" s="8" t="s">
        <v>15</v>
      </c>
      <c r="J43" s="8" t="s">
        <v>14</v>
      </c>
      <c r="K43" s="8"/>
    </row>
    <row r="44" spans="1:11" x14ac:dyDescent="0.35">
      <c r="A44" s="5" t="s">
        <v>73</v>
      </c>
      <c r="B44" s="6" t="s">
        <v>72</v>
      </c>
      <c r="C44" s="6" t="s">
        <v>17</v>
      </c>
      <c r="D44" s="7">
        <v>12.7</v>
      </c>
      <c r="E44" s="7">
        <v>8.5</v>
      </c>
      <c r="F44" s="7">
        <f t="shared" si="4"/>
        <v>21.2</v>
      </c>
      <c r="G44" s="7">
        <f t="shared" ca="1" si="5"/>
        <v>18.066666666666666</v>
      </c>
      <c r="H44" s="6" t="s">
        <v>14</v>
      </c>
      <c r="I44" s="5" t="s">
        <v>15</v>
      </c>
      <c r="J44" s="5" t="s">
        <v>14</v>
      </c>
      <c r="K44" s="5"/>
    </row>
    <row r="45" spans="1:11" x14ac:dyDescent="0.35">
      <c r="A45" s="8" t="s">
        <v>73</v>
      </c>
      <c r="B45" s="9" t="s">
        <v>72</v>
      </c>
      <c r="C45" s="9" t="s">
        <v>18</v>
      </c>
      <c r="D45" s="10">
        <v>12.5</v>
      </c>
      <c r="E45" s="10">
        <v>8.3000000000000007</v>
      </c>
      <c r="F45" s="10">
        <f t="shared" si="4"/>
        <v>20.8</v>
      </c>
      <c r="G45" s="10">
        <f t="shared" ca="1" si="5"/>
        <v>18.866666666666667</v>
      </c>
      <c r="H45" s="9" t="s">
        <v>14</v>
      </c>
      <c r="I45" s="8" t="s">
        <v>15</v>
      </c>
      <c r="J45" s="8" t="s">
        <v>14</v>
      </c>
      <c r="K45" s="8"/>
    </row>
    <row r="46" spans="1:11" x14ac:dyDescent="0.35">
      <c r="A46" s="5" t="s">
        <v>73</v>
      </c>
      <c r="B46" s="6" t="s">
        <v>72</v>
      </c>
      <c r="C46" s="6" t="s">
        <v>19</v>
      </c>
      <c r="D46" s="7">
        <v>12.2</v>
      </c>
      <c r="E46" s="7">
        <v>8.1999999999999993</v>
      </c>
      <c r="F46" s="7">
        <f t="shared" si="4"/>
        <v>20.399999999999999</v>
      </c>
      <c r="G46" s="7">
        <f t="shared" ca="1" si="5"/>
        <v>20.349999999999998</v>
      </c>
      <c r="H46" s="6" t="s">
        <v>14</v>
      </c>
      <c r="I46" s="5" t="s">
        <v>15</v>
      </c>
      <c r="J46" s="5" t="s">
        <v>14</v>
      </c>
      <c r="K46" s="5"/>
    </row>
    <row r="47" spans="1:11" x14ac:dyDescent="0.35">
      <c r="A47" s="8" t="s">
        <v>73</v>
      </c>
      <c r="B47" s="9" t="s">
        <v>72</v>
      </c>
      <c r="C47" s="9" t="s">
        <v>20</v>
      </c>
      <c r="D47" s="10">
        <v>12</v>
      </c>
      <c r="E47" s="10">
        <v>8</v>
      </c>
      <c r="F47" s="10">
        <f t="shared" si="4"/>
        <v>20</v>
      </c>
      <c r="G47" s="10">
        <f t="shared" ca="1" si="5"/>
        <v>21</v>
      </c>
      <c r="H47" s="9" t="s">
        <v>14</v>
      </c>
      <c r="I47" s="8" t="s">
        <v>15</v>
      </c>
      <c r="J47" s="8" t="s">
        <v>14</v>
      </c>
      <c r="K47" s="8"/>
    </row>
    <row r="48" spans="1:11" x14ac:dyDescent="0.35">
      <c r="A48" s="5" t="s">
        <v>73</v>
      </c>
      <c r="B48" s="6" t="s">
        <v>72</v>
      </c>
      <c r="C48" s="6" t="s">
        <v>21</v>
      </c>
      <c r="D48" s="7">
        <v>11.8</v>
      </c>
      <c r="E48" s="7">
        <v>7.8</v>
      </c>
      <c r="F48" s="7">
        <f t="shared" si="4"/>
        <v>19.600000000000001</v>
      </c>
      <c r="G48" s="7">
        <f t="shared" ca="1" si="5"/>
        <v>20.8</v>
      </c>
      <c r="H48" s="6" t="s">
        <v>14</v>
      </c>
      <c r="I48" s="5" t="s">
        <v>15</v>
      </c>
      <c r="J48" s="5" t="s">
        <v>14</v>
      </c>
      <c r="K48" s="5"/>
    </row>
    <row r="49" spans="1:11" x14ac:dyDescent="0.35">
      <c r="A49" s="8" t="s">
        <v>73</v>
      </c>
      <c r="B49" s="9" t="s">
        <v>72</v>
      </c>
      <c r="C49" s="9" t="s">
        <v>22</v>
      </c>
      <c r="D49" s="10">
        <v>11.5</v>
      </c>
      <c r="E49" s="10">
        <v>7.7</v>
      </c>
      <c r="F49" s="10">
        <f t="shared" si="4"/>
        <v>19.2</v>
      </c>
      <c r="G49" s="10">
        <f t="shared" ca="1" si="5"/>
        <v>20.399999999999999</v>
      </c>
      <c r="H49" s="9" t="s">
        <v>14</v>
      </c>
      <c r="I49" s="8" t="s">
        <v>15</v>
      </c>
      <c r="J49" s="8" t="s">
        <v>14</v>
      </c>
      <c r="K49" s="8"/>
    </row>
    <row r="50" spans="1:11" x14ac:dyDescent="0.35">
      <c r="A50" s="5" t="s">
        <v>73</v>
      </c>
      <c r="B50" s="6" t="s">
        <v>72</v>
      </c>
      <c r="C50" s="6" t="s">
        <v>23</v>
      </c>
      <c r="D50" s="7">
        <v>11.3</v>
      </c>
      <c r="E50" s="7">
        <v>7.5</v>
      </c>
      <c r="F50" s="7">
        <f t="shared" si="4"/>
        <v>18.8</v>
      </c>
      <c r="G50" s="7">
        <f t="shared" ca="1" si="5"/>
        <v>20</v>
      </c>
      <c r="H50" s="6" t="s">
        <v>14</v>
      </c>
      <c r="I50" s="5" t="s">
        <v>15</v>
      </c>
      <c r="J50" s="5" t="s">
        <v>14</v>
      </c>
      <c r="K50" s="5"/>
    </row>
    <row r="51" spans="1:11" x14ac:dyDescent="0.35">
      <c r="A51" s="8" t="s">
        <v>73</v>
      </c>
      <c r="B51" s="9" t="s">
        <v>72</v>
      </c>
      <c r="C51" s="9" t="s">
        <v>24</v>
      </c>
      <c r="D51" s="10">
        <v>11</v>
      </c>
      <c r="E51" s="10">
        <v>7.4</v>
      </c>
      <c r="F51" s="10">
        <f t="shared" si="4"/>
        <v>18.399999999999999</v>
      </c>
      <c r="G51" s="10">
        <f t="shared" ca="1" si="5"/>
        <v>19.600000000000001</v>
      </c>
      <c r="H51" s="9" t="s">
        <v>14</v>
      </c>
      <c r="I51" s="8" t="s">
        <v>15</v>
      </c>
      <c r="J51" s="8" t="s">
        <v>14</v>
      </c>
      <c r="K51" s="8"/>
    </row>
    <row r="52" spans="1:11" x14ac:dyDescent="0.35">
      <c r="A52" s="5" t="s">
        <v>73</v>
      </c>
      <c r="B52" s="6" t="s">
        <v>72</v>
      </c>
      <c r="C52" s="6" t="s">
        <v>25</v>
      </c>
      <c r="D52" s="7">
        <v>10.8</v>
      </c>
      <c r="E52" s="7">
        <v>7.2</v>
      </c>
      <c r="F52" s="7">
        <f t="shared" si="4"/>
        <v>18</v>
      </c>
      <c r="G52" s="7">
        <f t="shared" ca="1" si="5"/>
        <v>19.2</v>
      </c>
      <c r="H52" s="6" t="s">
        <v>14</v>
      </c>
      <c r="I52" s="5" t="s">
        <v>15</v>
      </c>
      <c r="J52" s="5" t="s">
        <v>14</v>
      </c>
      <c r="K52" s="5"/>
    </row>
    <row r="53" spans="1:11" x14ac:dyDescent="0.35">
      <c r="A53" s="8" t="s">
        <v>73</v>
      </c>
      <c r="B53" s="9" t="s">
        <v>72</v>
      </c>
      <c r="C53" s="9" t="s">
        <v>26</v>
      </c>
      <c r="D53" s="10">
        <v>10.6</v>
      </c>
      <c r="E53" s="10">
        <v>7</v>
      </c>
      <c r="F53" s="10">
        <f t="shared" si="4"/>
        <v>17.600000000000001</v>
      </c>
      <c r="G53" s="10">
        <f t="shared" ca="1" si="5"/>
        <v>18.8</v>
      </c>
      <c r="H53" s="9" t="s">
        <v>14</v>
      </c>
      <c r="I53" s="8" t="s">
        <v>15</v>
      </c>
      <c r="J53" s="8" t="s">
        <v>14</v>
      </c>
      <c r="K53" s="8"/>
    </row>
    <row r="54" spans="1:11" x14ac:dyDescent="0.35">
      <c r="A54" s="5" t="s">
        <v>73</v>
      </c>
      <c r="B54" s="6" t="s">
        <v>72</v>
      </c>
      <c r="C54" s="6" t="s">
        <v>27</v>
      </c>
      <c r="D54" s="7">
        <v>10.3</v>
      </c>
      <c r="E54" s="7">
        <v>6.9</v>
      </c>
      <c r="F54" s="7">
        <f t="shared" si="4"/>
        <v>17.200000000000003</v>
      </c>
      <c r="G54" s="7">
        <f t="shared" ca="1" si="5"/>
        <v>18.400000000000002</v>
      </c>
      <c r="H54" s="6" t="s">
        <v>14</v>
      </c>
      <c r="I54" s="5" t="s">
        <v>15</v>
      </c>
      <c r="J54" s="5" t="s">
        <v>14</v>
      </c>
      <c r="K54" s="5"/>
    </row>
    <row r="55" spans="1:11" x14ac:dyDescent="0.35">
      <c r="A55" s="8" t="s">
        <v>73</v>
      </c>
      <c r="B55" s="9" t="s">
        <v>72</v>
      </c>
      <c r="C55" s="9" t="s">
        <v>28</v>
      </c>
      <c r="D55" s="10">
        <v>10.1</v>
      </c>
      <c r="E55" s="10">
        <v>6.7</v>
      </c>
      <c r="F55" s="10">
        <f t="shared" si="4"/>
        <v>16.8</v>
      </c>
      <c r="G55" s="10">
        <f t="shared" ca="1" si="5"/>
        <v>18</v>
      </c>
      <c r="H55" s="9" t="s">
        <v>14</v>
      </c>
      <c r="I55" s="8" t="s">
        <v>15</v>
      </c>
      <c r="J55" s="8" t="s">
        <v>14</v>
      </c>
      <c r="K55" s="8"/>
    </row>
    <row r="56" spans="1:11" ht="25" x14ac:dyDescent="0.35">
      <c r="A56" s="5" t="s">
        <v>73</v>
      </c>
      <c r="B56" s="6" t="s">
        <v>72</v>
      </c>
      <c r="C56" s="6" t="s">
        <v>29</v>
      </c>
      <c r="D56" s="7">
        <v>9.8000000000000007</v>
      </c>
      <c r="E56" s="7">
        <v>6.6</v>
      </c>
      <c r="F56" s="7">
        <f t="shared" si="4"/>
        <v>16.399999999999999</v>
      </c>
      <c r="G56" s="7">
        <f t="shared" ca="1" si="5"/>
        <v>17.600000000000001</v>
      </c>
      <c r="H56" s="6" t="s">
        <v>14</v>
      </c>
      <c r="I56" s="5" t="s">
        <v>15</v>
      </c>
      <c r="J56" s="5" t="s">
        <v>14</v>
      </c>
      <c r="K56" s="5" t="s">
        <v>41</v>
      </c>
    </row>
    <row r="57" spans="1:11" ht="25" x14ac:dyDescent="0.35">
      <c r="A57" s="8" t="s">
        <v>73</v>
      </c>
      <c r="B57" s="9" t="s">
        <v>72</v>
      </c>
      <c r="C57" s="9" t="s">
        <v>30</v>
      </c>
      <c r="D57" s="10">
        <v>9.6</v>
      </c>
      <c r="E57" s="10">
        <v>6.4</v>
      </c>
      <c r="F57" s="10">
        <f t="shared" si="4"/>
        <v>16</v>
      </c>
      <c r="G57" s="10">
        <f t="shared" ca="1" si="5"/>
        <v>17.2</v>
      </c>
      <c r="H57" s="9" t="s">
        <v>14</v>
      </c>
      <c r="I57" s="8" t="s">
        <v>15</v>
      </c>
      <c r="J57" s="8" t="s">
        <v>14</v>
      </c>
      <c r="K57" s="8" t="s">
        <v>41</v>
      </c>
    </row>
    <row r="58" spans="1:11" ht="25" x14ac:dyDescent="0.35">
      <c r="A58" s="11" t="s">
        <v>73</v>
      </c>
      <c r="B58" s="12" t="s">
        <v>72</v>
      </c>
      <c r="C58" s="12" t="s">
        <v>31</v>
      </c>
      <c r="D58" s="13">
        <v>9.4</v>
      </c>
      <c r="E58" s="13">
        <v>6.2</v>
      </c>
      <c r="F58" s="13">
        <f t="shared" si="4"/>
        <v>15.600000000000001</v>
      </c>
      <c r="G58" s="13">
        <f t="shared" ca="1" si="5"/>
        <v>16.8</v>
      </c>
      <c r="H58" s="12" t="s">
        <v>14</v>
      </c>
      <c r="I58" s="11" t="s">
        <v>42</v>
      </c>
      <c r="J58" s="17" t="s">
        <v>43</v>
      </c>
      <c r="K58" s="11" t="s">
        <v>41</v>
      </c>
    </row>
    <row r="59" spans="1:11" ht="25" x14ac:dyDescent="0.35">
      <c r="A59" s="11" t="s">
        <v>73</v>
      </c>
      <c r="B59" s="12" t="s">
        <v>72</v>
      </c>
      <c r="C59" s="12" t="s">
        <v>36</v>
      </c>
      <c r="D59" s="13">
        <v>9.1</v>
      </c>
      <c r="E59" s="13">
        <v>6.1</v>
      </c>
      <c r="F59" s="13">
        <f t="shared" si="4"/>
        <v>15.2</v>
      </c>
      <c r="G59" s="13">
        <f t="shared" ca="1" si="5"/>
        <v>16.399999999999999</v>
      </c>
      <c r="H59" s="12" t="s">
        <v>44</v>
      </c>
      <c r="I59" s="11" t="s">
        <v>42</v>
      </c>
      <c r="J59" s="17" t="s">
        <v>43</v>
      </c>
      <c r="K59" s="11" t="s">
        <v>41</v>
      </c>
    </row>
    <row r="60" spans="1:11" x14ac:dyDescent="0.35">
      <c r="A60" s="15"/>
      <c r="B60" s="15"/>
      <c r="C60" s="15"/>
      <c r="D60" s="15"/>
      <c r="E60" s="15"/>
      <c r="F60" s="15"/>
      <c r="G60" s="15"/>
      <c r="H60" s="15"/>
      <c r="I60" s="15"/>
      <c r="J60" s="15"/>
      <c r="K60" s="15"/>
    </row>
  </sheetData>
  <mergeCells count="2">
    <mergeCell ref="A1:K1"/>
    <mergeCell ref="A2:K2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showGridLines="0" zoomScaleNormal="100" workbookViewId="0"/>
  </sheetViews>
  <sheetFormatPr defaultColWidth="8.6328125" defaultRowHeight="14.5" x14ac:dyDescent="0.35"/>
  <cols>
    <col min="1" max="1" width="10" customWidth="1"/>
    <col min="2" max="2" width="22" customWidth="1"/>
    <col min="3" max="3" width="28" customWidth="1"/>
    <col min="4" max="4" width="48" customWidth="1"/>
    <col min="5" max="5" width="18" customWidth="1"/>
  </cols>
  <sheetData>
    <row r="1" spans="1:5" ht="27.75" customHeight="1" x14ac:dyDescent="0.35">
      <c r="A1" s="3" t="s">
        <v>45</v>
      </c>
      <c r="B1" s="3"/>
      <c r="C1" s="3"/>
      <c r="D1" s="3"/>
      <c r="E1" s="3"/>
    </row>
    <row r="2" spans="1:5" ht="30" customHeight="1" x14ac:dyDescent="0.35">
      <c r="A2" s="4" t="s">
        <v>46</v>
      </c>
      <c r="B2" s="4" t="s">
        <v>47</v>
      </c>
      <c r="C2" s="4" t="s">
        <v>48</v>
      </c>
      <c r="D2" s="4" t="s">
        <v>49</v>
      </c>
      <c r="E2" s="4" t="s">
        <v>50</v>
      </c>
    </row>
    <row r="3" spans="1:5" ht="24" customHeight="1" x14ac:dyDescent="0.35">
      <c r="A3" s="8" t="s">
        <v>34</v>
      </c>
      <c r="B3" s="8" t="s">
        <v>51</v>
      </c>
      <c r="C3" s="8" t="s">
        <v>52</v>
      </c>
      <c r="D3" s="8" t="s">
        <v>53</v>
      </c>
      <c r="E3" s="14" t="s">
        <v>54</v>
      </c>
    </row>
    <row r="4" spans="1:5" ht="24" customHeight="1" x14ac:dyDescent="0.35">
      <c r="A4" s="8" t="s">
        <v>39</v>
      </c>
      <c r="B4" s="8" t="s">
        <v>55</v>
      </c>
      <c r="C4" s="8" t="s">
        <v>56</v>
      </c>
      <c r="D4" s="8" t="s">
        <v>57</v>
      </c>
      <c r="E4" s="16" t="s">
        <v>54</v>
      </c>
    </row>
    <row r="5" spans="1:5" ht="24" customHeight="1" x14ac:dyDescent="0.35">
      <c r="A5" s="8" t="s">
        <v>43</v>
      </c>
      <c r="B5" s="8" t="s">
        <v>58</v>
      </c>
      <c r="C5" s="8" t="s">
        <v>59</v>
      </c>
      <c r="D5" s="8" t="s">
        <v>60</v>
      </c>
      <c r="E5" s="17" t="s">
        <v>54</v>
      </c>
    </row>
    <row r="7" spans="1:5" ht="15" customHeight="1" x14ac:dyDescent="0.35">
      <c r="A7" s="1" t="s">
        <v>61</v>
      </c>
      <c r="B7" s="1"/>
      <c r="C7" s="1"/>
      <c r="D7" s="1"/>
      <c r="E7" s="1"/>
    </row>
    <row r="8" spans="1:5" x14ac:dyDescent="0.35">
      <c r="A8" s="18" t="s">
        <v>62</v>
      </c>
      <c r="B8" s="19" t="s">
        <v>63</v>
      </c>
      <c r="C8" s="20"/>
      <c r="D8" s="20"/>
      <c r="E8" s="20"/>
    </row>
    <row r="9" spans="1:5" x14ac:dyDescent="0.35">
      <c r="A9" s="21" t="s">
        <v>62</v>
      </c>
      <c r="B9" s="19" t="s">
        <v>64</v>
      </c>
      <c r="C9" s="20"/>
      <c r="D9" s="20"/>
      <c r="E9" s="20"/>
    </row>
    <row r="10" spans="1:5" x14ac:dyDescent="0.35">
      <c r="A10" s="22" t="s">
        <v>62</v>
      </c>
      <c r="B10" s="19" t="s">
        <v>65</v>
      </c>
      <c r="C10" s="20"/>
      <c r="D10" s="20"/>
      <c r="E10" s="20"/>
    </row>
    <row r="11" spans="1:5" x14ac:dyDescent="0.35">
      <c r="A11" s="23" t="s">
        <v>62</v>
      </c>
      <c r="B11" s="19" t="s">
        <v>66</v>
      </c>
      <c r="C11" s="20"/>
      <c r="D11" s="20"/>
      <c r="E11" s="20"/>
    </row>
    <row r="12" spans="1:5" x14ac:dyDescent="0.35">
      <c r="A12" s="24" t="s">
        <v>62</v>
      </c>
      <c r="B12" s="19" t="s">
        <v>67</v>
      </c>
      <c r="C12" s="20"/>
      <c r="D12" s="20"/>
      <c r="E12" s="20"/>
    </row>
  </sheetData>
  <mergeCells count="2">
    <mergeCell ref="A1:E1"/>
    <mergeCell ref="A7:E7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 Data – Input</vt:lpstr>
      <vt:lpstr>Legend &amp; Rules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Douglas Bett</cp:lastModifiedBy>
  <cp:revision>0</cp:revision>
  <dcterms:created xsi:type="dcterms:W3CDTF">2026-05-18T19:55:10Z</dcterms:created>
  <dcterms:modified xsi:type="dcterms:W3CDTF">2026-05-18T20:06:20Z</dcterms:modified>
  <dc:language>en-US</dc:language>
</cp:coreProperties>
</file>